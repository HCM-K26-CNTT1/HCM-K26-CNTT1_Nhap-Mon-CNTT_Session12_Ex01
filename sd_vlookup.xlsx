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it-rikkei\it1-cntt1\session-12\btvn-01\"/>
    </mc:Choice>
  </mc:AlternateContent>
  <xr:revisionPtr revIDLastSave="0" documentId="8_{04030A6B-2729-451B-9162-134272F876AA}" xr6:coauthVersionLast="47" xr6:coauthVersionMax="47" xr10:uidLastSave="{00000000-0000-0000-0000-000000000000}"/>
  <bookViews>
    <workbookView xWindow="-108" yWindow="-108" windowWidth="23256" windowHeight="12456" xr2:uid="{15656539-75EE-4488-A540-EB6721781263}"/>
  </bookViews>
  <sheets>
    <sheet name="GiaoDich" sheetId="1" r:id="rId1"/>
    <sheet name="DanhMucNguoiDu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</calcChain>
</file>

<file path=xl/sharedStrings.xml><?xml version="1.0" encoding="utf-8"?>
<sst xmlns="http://schemas.openxmlformats.org/spreadsheetml/2006/main" count="36" uniqueCount="25">
  <si>
    <t>Mã giao dịch</t>
  </si>
  <si>
    <t>Mã người dùng</t>
  </si>
  <si>
    <t>Tên người dùng</t>
  </si>
  <si>
    <t>Số tiền (VNĐ)</t>
  </si>
  <si>
    <t>Phí ngân hàng (VNĐ)</t>
  </si>
  <si>
    <t>Trạng thái</t>
  </si>
  <si>
    <t>GD001</t>
  </si>
  <si>
    <t>SV001</t>
  </si>
  <si>
    <t>Thành công</t>
  </si>
  <si>
    <t>GD002</t>
  </si>
  <si>
    <t>SV002</t>
  </si>
  <si>
    <t>GD003</t>
  </si>
  <si>
    <t>SV003</t>
  </si>
  <si>
    <t>Hoàn tiền</t>
  </si>
  <si>
    <t>GD004</t>
  </si>
  <si>
    <t>SV004</t>
  </si>
  <si>
    <t>GD005</t>
  </si>
  <si>
    <t>SV005</t>
  </si>
  <si>
    <t>Đang xử lý</t>
  </si>
  <si>
    <t>GD006</t>
  </si>
  <si>
    <t>Phạm Bình Minh</t>
  </si>
  <si>
    <t>Lâm Hữu Nghị</t>
  </si>
  <si>
    <t>Lê Minh Anh</t>
  </si>
  <si>
    <t>Phạm Thành Đạo</t>
  </si>
  <si>
    <t>Trần Thị Diễm Trâm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</si>
</sst>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</cellXfs>
  <cellStyles count="1">
    <cellStyle name="Normal" xfId="0" builtinId="0"/>
  </cellStyles>
  <dxfs count="1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8721F7-F3CA-4C3D-B101-BDCF77801534}" name="Table2" displayName="Table2" ref="A1:F7" totalsRowShown="0" headerRowDxfId="1" headerRowBorderDxfId="8" tableBorderDxfId="9" totalsRowBorderDxfId="7">
  <autoFilter ref="A1:F7" xr:uid="{608721F7-F3CA-4C3D-B101-BDCF77801534}"/>
  <tableColumns count="6">
    <tableColumn id="1" xr3:uid="{9B90AD3D-85B2-4B0E-97A3-20C489E319C7}" name="Mã giao dịch" dataDxfId="6"/>
    <tableColumn id="2" xr3:uid="{44E97EAE-59C9-4833-BCD7-038286A30F12}" name="Mã người dùng" dataDxfId="5"/>
    <tableColumn id="3" xr3:uid="{225376D6-8147-40EC-AB34-C87CFA238DB6}" name="Tên người dùng" dataDxfId="0">
      <calculatedColumnFormula>VLOOKUP(B2,DanhMucNguoiDung!$A$2:$B$6,2,FALSE)</calculatedColumnFormula>
    </tableColumn>
    <tableColumn id="4" xr3:uid="{CA092B8D-B51E-40F0-AA0E-D37803D54AC3}" name="Số tiền (VNĐ)" dataDxfId="4"/>
    <tableColumn id="5" xr3:uid="{D91DBA0B-A59F-4A24-9A51-06A8868CC9CB}" name="Phí ngân hàng (VNĐ)" dataDxfId="3"/>
    <tableColumn id="6" xr3:uid="{E27AD475-17F1-4A2F-A639-111CAC3E9EF0}" name="Trạng thái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08F2B-420B-4E1D-B0C7-B95B07FBB9E5}" name="Table1" displayName="Table1" ref="A1:B6" totalsRowShown="0" headerRowDxfId="10" headerRowBorderDxfId="14" tableBorderDxfId="15" totalsRowBorderDxfId="13">
  <autoFilter ref="A1:B6" xr:uid="{4A708F2B-420B-4E1D-B0C7-B95B07FBB9E5}"/>
  <tableColumns count="2">
    <tableColumn id="1" xr3:uid="{F48A3ECA-5CB5-4996-AF8D-D5089C3FB47F}" name="Mã người dùng" dataDxfId="12"/>
    <tableColumn id="2" xr3:uid="{1F88B390-8CC0-4C2B-BBD8-B3E851BF02A6}" name="Tên người dùng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EAF8-D8C3-40A1-B2F6-8E322D113603}">
  <dimension ref="A1:F7"/>
  <sheetViews>
    <sheetView tabSelected="1" workbookViewId="0">
      <selection activeCell="D10" sqref="D10"/>
    </sheetView>
  </sheetViews>
  <sheetFormatPr defaultRowHeight="14.4" x14ac:dyDescent="0.3"/>
  <cols>
    <col min="1" max="6" width="22.5546875" customWidth="1"/>
  </cols>
  <sheetData>
    <row r="1" spans="1:6" x14ac:dyDescent="0.3">
      <c r="A1" s="4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5" t="s">
        <v>5</v>
      </c>
    </row>
    <row r="2" spans="1:6" x14ac:dyDescent="0.3">
      <c r="A2" s="2" t="s">
        <v>6</v>
      </c>
      <c r="B2" s="1" t="s">
        <v>7</v>
      </c>
      <c r="C2" s="1" t="str">
        <f>VLOOKUP(B2,DanhMucNguoiDung!$A$2:$B$6,2,FALSE)</f>
        <v>Phạm Bình Minh</v>
      </c>
      <c r="D2" s="1">
        <v>200000</v>
      </c>
      <c r="E2" s="1">
        <v>2000</v>
      </c>
      <c r="F2" s="3" t="s">
        <v>8</v>
      </c>
    </row>
    <row r="3" spans="1:6" x14ac:dyDescent="0.3">
      <c r="A3" s="2" t="s">
        <v>9</v>
      </c>
      <c r="B3" s="1" t="s">
        <v>10</v>
      </c>
      <c r="C3" s="1" t="str">
        <f>VLOOKUP(B3,DanhMucNguoiDung!$A$2:$B$6,2,FALSE)</f>
        <v>Lâm Hữu Nghị</v>
      </c>
      <c r="D3" s="1">
        <v>150000</v>
      </c>
      <c r="E3" s="1">
        <v>1500</v>
      </c>
      <c r="F3" s="3" t="s">
        <v>8</v>
      </c>
    </row>
    <row r="4" spans="1:6" x14ac:dyDescent="0.3">
      <c r="A4" s="2" t="s">
        <v>11</v>
      </c>
      <c r="B4" s="1" t="s">
        <v>12</v>
      </c>
      <c r="C4" s="1" t="str">
        <f>VLOOKUP(B4,DanhMucNguoiDung!$A$2:$B$6,2,FALSE)</f>
        <v>Phạm Thành Đạo</v>
      </c>
      <c r="D4" s="1">
        <v>100000</v>
      </c>
      <c r="E4" s="1">
        <v>1000</v>
      </c>
      <c r="F4" s="3" t="s">
        <v>13</v>
      </c>
    </row>
    <row r="5" spans="1:6" x14ac:dyDescent="0.3">
      <c r="A5" s="2" t="s">
        <v>14</v>
      </c>
      <c r="B5" s="1" t="s">
        <v>15</v>
      </c>
      <c r="C5" s="1" t="str">
        <f>VLOOKUP(B5,DanhMucNguoiDung!$A$2:$B$6,2,FALSE)</f>
        <v>Trần Thị Diễm Trâm</v>
      </c>
      <c r="D5" s="1">
        <v>300000</v>
      </c>
      <c r="E5" s="1">
        <v>3000</v>
      </c>
      <c r="F5" s="3" t="s">
        <v>8</v>
      </c>
    </row>
    <row r="6" spans="1:6" x14ac:dyDescent="0.3">
      <c r="A6" s="2" t="s">
        <v>16</v>
      </c>
      <c r="B6" s="1" t="s">
        <v>17</v>
      </c>
      <c r="C6" s="1" t="str">
        <f>VLOOKUP(B6,DanhMucNguoiDung!$A$2:$B$6,2,FALSE)</f>
        <v>Lê Minh Anh</v>
      </c>
      <c r="D6" s="1">
        <v>250000</v>
      </c>
      <c r="E6" s="1">
        <v>2500</v>
      </c>
      <c r="F6" s="3" t="s">
        <v>18</v>
      </c>
    </row>
    <row r="7" spans="1:6" x14ac:dyDescent="0.3">
      <c r="A7" s="6" t="s">
        <v>19</v>
      </c>
      <c r="B7" s="9" t="s">
        <v>7</v>
      </c>
      <c r="C7" s="9" t="str">
        <f>VLOOKUP(B7,DanhMucNguoiDung!$A$2:$B$6,2,FALSE)</f>
        <v>Phạm Bình Minh</v>
      </c>
      <c r="D7" s="9">
        <v>50000</v>
      </c>
      <c r="E7" s="9">
        <v>500</v>
      </c>
      <c r="F7" s="7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0942-4EC3-42CB-B597-4BA95495644D}">
  <dimension ref="A1:B6"/>
  <sheetViews>
    <sheetView workbookViewId="0">
      <selection activeCell="B10" sqref="B10"/>
    </sheetView>
  </sheetViews>
  <sheetFormatPr defaultRowHeight="14.4" x14ac:dyDescent="0.3"/>
  <cols>
    <col min="1" max="2" width="26.21875" customWidth="1"/>
  </cols>
  <sheetData>
    <row r="1" spans="1:2" x14ac:dyDescent="0.3">
      <c r="A1" s="4" t="s">
        <v>1</v>
      </c>
      <c r="B1" s="5" t="s">
        <v>2</v>
      </c>
    </row>
    <row r="2" spans="1:2" x14ac:dyDescent="0.3">
      <c r="A2" s="2" t="s">
        <v>7</v>
      </c>
      <c r="B2" s="3" t="s">
        <v>20</v>
      </c>
    </row>
    <row r="3" spans="1:2" x14ac:dyDescent="0.3">
      <c r="A3" s="2" t="s">
        <v>10</v>
      </c>
      <c r="B3" s="3" t="s">
        <v>21</v>
      </c>
    </row>
    <row r="4" spans="1:2" x14ac:dyDescent="0.3">
      <c r="A4" s="2" t="s">
        <v>12</v>
      </c>
      <c r="B4" s="3" t="s">
        <v>23</v>
      </c>
    </row>
    <row r="5" spans="1:2" x14ac:dyDescent="0.3">
      <c r="A5" s="2" t="s">
        <v>15</v>
      </c>
      <c r="B5" s="3" t="s">
        <v>24</v>
      </c>
    </row>
    <row r="6" spans="1:2" x14ac:dyDescent="0.3">
      <c r="A6" s="6" t="s">
        <v>17</v>
      </c>
      <c r="B6" s="7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DanhMucNguoiDung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Linh</dc:creator>
  <cp:lastModifiedBy>Nguyen Linh</cp:lastModifiedBy>
  <dcterms:created xsi:type="dcterms:W3CDTF">2026-10-26T11:34:53Z</dcterms:created>
  <dcterms:modified xsi:type="dcterms:W3CDTF">2026-10-26T11:47:32Z</dcterms:modified>
</cp:coreProperties>
</file>